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HW\ids\research\advent_of_code\2021\24\"/>
    </mc:Choice>
  </mc:AlternateContent>
  <xr:revisionPtr revIDLastSave="0" documentId="13_ncr:1_{86501BB3-4FEA-4026-9CC0-DD8B11CFAA9D}" xr6:coauthVersionLast="47" xr6:coauthVersionMax="47" xr10:uidLastSave="{00000000-0000-0000-0000-000000000000}"/>
  <bookViews>
    <workbookView xWindow="-120" yWindow="-120" windowWidth="29040" windowHeight="15720" xr2:uid="{CA19D1AD-E341-40AF-8192-81ACE0C28F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C45" i="1"/>
  <c r="C50" i="1" s="1"/>
  <c r="C51" i="1" s="1"/>
  <c r="D45" i="1" s="1"/>
  <c r="D50" i="1" s="1"/>
  <c r="C27" i="1"/>
  <c r="C31" i="1" s="1"/>
  <c r="C32" i="1" s="1"/>
  <c r="D27" i="1" s="1"/>
  <c r="D31" i="1" s="1"/>
  <c r="D46" i="1" l="1"/>
  <c r="D51" i="1"/>
  <c r="E46" i="1" s="1"/>
  <c r="D32" i="1"/>
  <c r="E45" i="1" l="1"/>
  <c r="E50" i="1" s="1"/>
  <c r="E51" i="1" s="1"/>
  <c r="F46" i="1" s="1"/>
  <c r="E27" i="1"/>
  <c r="E31" i="1" s="1"/>
  <c r="E32" i="1" s="1"/>
  <c r="F27" i="1" s="1"/>
  <c r="F31" i="1" s="1"/>
  <c r="F32" i="1" s="1"/>
  <c r="F45" i="1" l="1"/>
  <c r="F50" i="1" s="1"/>
  <c r="F51" i="1" s="1"/>
  <c r="G46" i="1" s="1"/>
  <c r="G27" i="1"/>
  <c r="G31" i="1" s="1"/>
  <c r="G32" i="1" s="1"/>
  <c r="G45" i="1" l="1"/>
  <c r="G50" i="1" s="1"/>
  <c r="G51" i="1" s="1"/>
  <c r="H46" i="1" s="1"/>
  <c r="H27" i="1"/>
  <c r="H31" i="1" s="1"/>
  <c r="H32" i="1" s="1"/>
  <c r="I27" i="1" s="1"/>
  <c r="I31" i="1" s="1"/>
  <c r="I32" i="1" s="1"/>
  <c r="J27" i="1" s="1"/>
  <c r="J31" i="1" s="1"/>
  <c r="J32" i="1" s="1"/>
  <c r="K27" i="1" s="1"/>
  <c r="K31" i="1" s="1"/>
  <c r="K32" i="1" s="1"/>
  <c r="L27" i="1" s="1"/>
  <c r="L31" i="1" s="1"/>
  <c r="L32" i="1" s="1"/>
  <c r="H45" i="1" l="1"/>
  <c r="H50" i="1" s="1"/>
  <c r="H51" i="1" s="1"/>
  <c r="I46" i="1" s="1"/>
  <c r="M27" i="1"/>
  <c r="M31" i="1" s="1"/>
  <c r="M32" i="1" s="1"/>
  <c r="N27" i="1" s="1"/>
  <c r="N31" i="1" s="1"/>
  <c r="N32" i="1" s="1"/>
  <c r="O27" i="1" s="1"/>
  <c r="O31" i="1" s="1"/>
  <c r="O32" i="1" s="1"/>
  <c r="I45" i="1" l="1"/>
  <c r="I50" i="1" s="1"/>
  <c r="I51" i="1" s="1"/>
  <c r="J46" i="1" s="1"/>
  <c r="P27" i="1"/>
  <c r="P31" i="1" s="1"/>
  <c r="P32" i="1" s="1"/>
  <c r="J45" i="1" l="1"/>
  <c r="J50" i="1" s="1"/>
  <c r="J51" i="1" s="1"/>
  <c r="K46" i="1" s="1"/>
  <c r="K45" i="1" l="1"/>
  <c r="K50" i="1" s="1"/>
  <c r="K51" i="1" s="1"/>
  <c r="L46" i="1" s="1"/>
  <c r="L45" i="1" l="1"/>
  <c r="L50" i="1" s="1"/>
  <c r="L51" i="1" s="1"/>
  <c r="M46" i="1" s="1"/>
  <c r="M45" i="1" l="1"/>
  <c r="M50" i="1" s="1"/>
  <c r="M51" i="1" s="1"/>
  <c r="N46" i="1" s="1"/>
  <c r="N45" i="1" l="1"/>
  <c r="N50" i="1" s="1"/>
  <c r="N51" i="1" s="1"/>
  <c r="O46" i="1" s="1"/>
  <c r="O45" i="1" l="1"/>
  <c r="O50" i="1" s="1"/>
  <c r="O51" i="1" s="1"/>
  <c r="P46" i="1" s="1"/>
  <c r="P45" i="1" l="1"/>
  <c r="P50" i="1" s="1"/>
  <c r="P51" i="1" s="1"/>
</calcChain>
</file>

<file path=xl/sharedStrings.xml><?xml version="1.0" encoding="utf-8"?>
<sst xmlns="http://schemas.openxmlformats.org/spreadsheetml/2006/main" count="290" uniqueCount="61">
  <si>
    <t>inp w</t>
  </si>
  <si>
    <t>mul x 0</t>
  </si>
  <si>
    <t>add x z</t>
  </si>
  <si>
    <t>mod x 26</t>
  </si>
  <si>
    <t>div z 1</t>
  </si>
  <si>
    <t>add x 14</t>
  </si>
  <si>
    <t>eql x w</t>
  </si>
  <si>
    <t>eql x 0</t>
  </si>
  <si>
    <t>mul y 0</t>
  </si>
  <si>
    <t>add y 25</t>
  </si>
  <si>
    <t>mul y x</t>
  </si>
  <si>
    <t>add y 1</t>
  </si>
  <si>
    <t>mul z y</t>
  </si>
  <si>
    <t>add y w</t>
  </si>
  <si>
    <t>add y 12</t>
  </si>
  <si>
    <t>add z y</t>
  </si>
  <si>
    <t>add x 15</t>
  </si>
  <si>
    <t>add y 7</t>
  </si>
  <si>
    <t>add x 12</t>
  </si>
  <si>
    <t>add x 11</t>
  </si>
  <si>
    <t>add y 2</t>
  </si>
  <si>
    <t>div z 26</t>
  </si>
  <si>
    <t>add x -5</t>
  </si>
  <si>
    <t>add y 4</t>
  </si>
  <si>
    <t>add y 15</t>
  </si>
  <si>
    <t>add y 11</t>
  </si>
  <si>
    <t>add x -13</t>
  </si>
  <si>
    <t>add y 5</t>
  </si>
  <si>
    <t>add x -16</t>
  </si>
  <si>
    <t>add y 3</t>
  </si>
  <si>
    <t>add x -8</t>
  </si>
  <si>
    <t>add y 9</t>
  </si>
  <si>
    <t>add x 0</t>
  </si>
  <si>
    <t>add x -4</t>
  </si>
  <si>
    <t>BIGGEST</t>
  </si>
  <si>
    <t>LOWEST</t>
  </si>
  <si>
    <t>Original input instructions x 14 with differences highlighted</t>
  </si>
  <si>
    <t>-- logical break where we set and test x --</t>
  </si>
  <si>
    <t>-- logical break where we set y to 26 or 1 based on x--</t>
  </si>
  <si>
    <t>-- logical break where we multiply our input times y and some values, cancel it or multiple it times 1 and add it to Z--</t>
  </si>
  <si>
    <t>Original input instructions converted to excel formulas</t>
  </si>
  <si>
    <t>W</t>
  </si>
  <si>
    <t>X</t>
  </si>
  <si>
    <t>Y</t>
  </si>
  <si>
    <t>Z</t>
  </si>
  <si>
    <t>Maybe there is some intricate pattern or trick at the byte/bit level. I didn't investigate this.</t>
  </si>
  <si>
    <t>What I tried is entering a bunch of different numbers, after which it was clear pretty fast that based on your input, Z ramps up quickly.</t>
  </si>
  <si>
    <t>In addition, some columns DIVIDE Z by 26, so if we want Z to go to zero we NEED to trigger these.</t>
  </si>
  <si>
    <t>Whether the division is triggered, depends on whether the previous Z mod 26 plus the listed values added (e.g. -5) equals our input.</t>
  </si>
  <si>
    <t>In other words, columns with PLUS values like 14, 15, 12, 11 can never set X to zero, only the negative columns can.</t>
  </si>
  <si>
    <t>VALUE TO MATCH:</t>
  </si>
  <si>
    <t>So the first thing was to figure out, how can we get these columns to zero, after a lot of experimenting I got to this (I also added the value to match!) Of course values below 1 or higher than 9 cannot be matched and the yellow columns MUST be 'triggered'</t>
  </si>
  <si>
    <t>Then began endless tinkering again, trying to see which values influence each other and how far we could up values before we could not zero them out anymore.</t>
  </si>
  <si>
    <t>A</t>
  </si>
  <si>
    <t>B</t>
  </si>
  <si>
    <t>C</t>
  </si>
  <si>
    <t>D</t>
  </si>
  <si>
    <t>E</t>
  </si>
  <si>
    <t>F</t>
  </si>
  <si>
    <t>G</t>
  </si>
  <si>
    <t>Note the yellow columns where we are dividing, means we are undoing the previous multiplication by 26, this at least gives a pattern to where we need to start matching our column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</si>
</sst>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2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2E79F-11ED-429C-A6CF-C48E0B9355AA}">
  <dimension ref="A1:Q64"/>
  <sheetViews>
    <sheetView tabSelected="1" topLeftCell="A26" zoomScaleNormal="100" workbookViewId="0">
      <selection activeCell="A62" sqref="A62"/>
    </sheetView>
  </sheetViews>
  <sheetFormatPr defaultRowHeight="12.75" x14ac:dyDescent="0.2"/>
  <cols>
    <col min="3" max="16" width="12.7109375" customWidth="1"/>
    <col min="17" max="17" width="35.7109375" customWidth="1"/>
  </cols>
  <sheetData>
    <row r="1" spans="3:16" ht="20.25" x14ac:dyDescent="0.3">
      <c r="C1" s="9" t="s">
        <v>36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spans="3:16" x14ac:dyDescent="0.2"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</row>
    <row r="4" spans="3:16" x14ac:dyDescent="0.2">
      <c r="C4" s="10" t="s">
        <v>37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3:16" x14ac:dyDescent="0.2"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</row>
    <row r="6" spans="3:16" x14ac:dyDescent="0.2"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</row>
    <row r="7" spans="3:16" x14ac:dyDescent="0.2">
      <c r="C7" t="s">
        <v>3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  <c r="M7" t="s">
        <v>3</v>
      </c>
      <c r="N7" t="s">
        <v>3</v>
      </c>
      <c r="O7" t="s">
        <v>3</v>
      </c>
      <c r="P7" t="s">
        <v>3</v>
      </c>
    </row>
    <row r="8" spans="3:16" x14ac:dyDescent="0.2">
      <c r="C8" s="1" t="s">
        <v>4</v>
      </c>
      <c r="D8" s="1" t="s">
        <v>4</v>
      </c>
      <c r="E8" s="1" t="s">
        <v>4</v>
      </c>
      <c r="F8" s="1" t="s">
        <v>4</v>
      </c>
      <c r="G8" s="1" t="s">
        <v>21</v>
      </c>
      <c r="H8" s="1" t="s">
        <v>4</v>
      </c>
      <c r="I8" s="1" t="s">
        <v>4</v>
      </c>
      <c r="J8" s="1" t="s">
        <v>21</v>
      </c>
      <c r="K8" s="1" t="s">
        <v>21</v>
      </c>
      <c r="L8" s="1" t="s">
        <v>21</v>
      </c>
      <c r="M8" s="1" t="s">
        <v>4</v>
      </c>
      <c r="N8" s="1" t="s">
        <v>21</v>
      </c>
      <c r="O8" s="1" t="s">
        <v>21</v>
      </c>
      <c r="P8" s="1" t="s">
        <v>21</v>
      </c>
    </row>
    <row r="9" spans="3:16" x14ac:dyDescent="0.2">
      <c r="C9" s="1" t="s">
        <v>5</v>
      </c>
      <c r="D9" s="1" t="s">
        <v>16</v>
      </c>
      <c r="E9" s="1" t="s">
        <v>18</v>
      </c>
      <c r="F9" s="1" t="s">
        <v>19</v>
      </c>
      <c r="G9" s="1" t="s">
        <v>22</v>
      </c>
      <c r="H9" s="1" t="s">
        <v>5</v>
      </c>
      <c r="I9" s="1" t="s">
        <v>16</v>
      </c>
      <c r="J9" s="1" t="s">
        <v>26</v>
      </c>
      <c r="K9" s="1" t="s">
        <v>28</v>
      </c>
      <c r="L9" s="1" t="s">
        <v>30</v>
      </c>
      <c r="M9" s="1" t="s">
        <v>16</v>
      </c>
      <c r="N9" s="1" t="s">
        <v>30</v>
      </c>
      <c r="O9" s="1" t="s">
        <v>32</v>
      </c>
      <c r="P9" s="1" t="s">
        <v>33</v>
      </c>
    </row>
    <row r="10" spans="3:16" x14ac:dyDescent="0.2"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</row>
    <row r="11" spans="3:16" x14ac:dyDescent="0.2">
      <c r="C11" t="s">
        <v>7</v>
      </c>
      <c r="D11" t="s">
        <v>7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  <c r="K11" t="s">
        <v>7</v>
      </c>
      <c r="L11" t="s">
        <v>7</v>
      </c>
      <c r="M11" t="s">
        <v>7</v>
      </c>
      <c r="N11" t="s">
        <v>7</v>
      </c>
      <c r="O11" t="s">
        <v>7</v>
      </c>
      <c r="P11" t="s">
        <v>7</v>
      </c>
    </row>
    <row r="12" spans="3:16" x14ac:dyDescent="0.2">
      <c r="C12" s="10" t="s">
        <v>38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3:16" x14ac:dyDescent="0.2">
      <c r="C13" t="s">
        <v>8</v>
      </c>
      <c r="D13" t="s">
        <v>8</v>
      </c>
      <c r="E13" t="s">
        <v>8</v>
      </c>
      <c r="F13" t="s">
        <v>8</v>
      </c>
      <c r="G13" t="s">
        <v>8</v>
      </c>
      <c r="H13" t="s">
        <v>8</v>
      </c>
      <c r="I13" t="s">
        <v>8</v>
      </c>
      <c r="J13" t="s">
        <v>8</v>
      </c>
      <c r="K13" t="s">
        <v>8</v>
      </c>
      <c r="L13" t="s">
        <v>8</v>
      </c>
      <c r="M13" t="s">
        <v>8</v>
      </c>
      <c r="N13" t="s">
        <v>8</v>
      </c>
      <c r="O13" t="s">
        <v>8</v>
      </c>
      <c r="P13" t="s">
        <v>8</v>
      </c>
    </row>
    <row r="14" spans="3:16" x14ac:dyDescent="0.2"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  <c r="I14" t="s">
        <v>9</v>
      </c>
      <c r="J14" t="s">
        <v>9</v>
      </c>
      <c r="K14" t="s">
        <v>9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</row>
    <row r="15" spans="3:16" x14ac:dyDescent="0.2"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  <c r="K15" t="s">
        <v>10</v>
      </c>
      <c r="L15" t="s">
        <v>10</v>
      </c>
      <c r="M15" t="s">
        <v>10</v>
      </c>
      <c r="N15" t="s">
        <v>10</v>
      </c>
      <c r="O15" t="s">
        <v>10</v>
      </c>
      <c r="P15" t="s">
        <v>10</v>
      </c>
    </row>
    <row r="16" spans="3:16" x14ac:dyDescent="0.2">
      <c r="C16" t="s">
        <v>11</v>
      </c>
      <c r="D16" t="s">
        <v>11</v>
      </c>
      <c r="E16" t="s">
        <v>11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  <c r="L16" t="s">
        <v>11</v>
      </c>
      <c r="M16" t="s">
        <v>11</v>
      </c>
      <c r="N16" t="s">
        <v>11</v>
      </c>
      <c r="O16" t="s">
        <v>11</v>
      </c>
      <c r="P16" t="s">
        <v>11</v>
      </c>
    </row>
    <row r="17" spans="1:17" x14ac:dyDescent="0.2">
      <c r="C17" t="s">
        <v>12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  <c r="J17" t="s">
        <v>12</v>
      </c>
      <c r="K17" t="s">
        <v>12</v>
      </c>
      <c r="L17" t="s">
        <v>12</v>
      </c>
      <c r="M17" t="s">
        <v>12</v>
      </c>
      <c r="N17" t="s">
        <v>12</v>
      </c>
      <c r="O17" t="s">
        <v>12</v>
      </c>
      <c r="P17" t="s">
        <v>12</v>
      </c>
    </row>
    <row r="18" spans="1:17" x14ac:dyDescent="0.2">
      <c r="C18" s="10" t="s">
        <v>39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7" x14ac:dyDescent="0.2"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s">
        <v>8</v>
      </c>
      <c r="I19" t="s">
        <v>8</v>
      </c>
      <c r="J19" t="s">
        <v>8</v>
      </c>
      <c r="K19" t="s">
        <v>8</v>
      </c>
      <c r="L19" t="s">
        <v>8</v>
      </c>
      <c r="M19" t="s">
        <v>8</v>
      </c>
      <c r="N19" t="s">
        <v>8</v>
      </c>
      <c r="O19" t="s">
        <v>8</v>
      </c>
      <c r="P19" t="s">
        <v>8</v>
      </c>
    </row>
    <row r="20" spans="1:17" x14ac:dyDescent="0.2">
      <c r="C20" t="s">
        <v>13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  <c r="J20" t="s">
        <v>13</v>
      </c>
      <c r="K20" t="s">
        <v>13</v>
      </c>
      <c r="L20" t="s">
        <v>13</v>
      </c>
      <c r="M20" t="s">
        <v>13</v>
      </c>
      <c r="N20" t="s">
        <v>13</v>
      </c>
      <c r="O20" t="s">
        <v>13</v>
      </c>
      <c r="P20" t="s">
        <v>13</v>
      </c>
    </row>
    <row r="21" spans="1:17" x14ac:dyDescent="0.2">
      <c r="C21" s="1" t="s">
        <v>14</v>
      </c>
      <c r="D21" s="1" t="s">
        <v>17</v>
      </c>
      <c r="E21" s="1" t="s">
        <v>11</v>
      </c>
      <c r="F21" s="1" t="s">
        <v>20</v>
      </c>
      <c r="G21" s="1" t="s">
        <v>23</v>
      </c>
      <c r="H21" s="1" t="s">
        <v>24</v>
      </c>
      <c r="I21" s="1" t="s">
        <v>25</v>
      </c>
      <c r="J21" s="1" t="s">
        <v>27</v>
      </c>
      <c r="K21" s="1" t="s">
        <v>29</v>
      </c>
      <c r="L21" s="1" t="s">
        <v>31</v>
      </c>
      <c r="M21" s="1" t="s">
        <v>20</v>
      </c>
      <c r="N21" s="1" t="s">
        <v>29</v>
      </c>
      <c r="O21" s="1" t="s">
        <v>29</v>
      </c>
      <c r="P21" s="1" t="s">
        <v>25</v>
      </c>
    </row>
    <row r="22" spans="1:17" x14ac:dyDescent="0.2"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10</v>
      </c>
      <c r="P22" t="s">
        <v>10</v>
      </c>
    </row>
    <row r="23" spans="1:17" x14ac:dyDescent="0.2"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t="s">
        <v>15</v>
      </c>
      <c r="O23" t="s">
        <v>15</v>
      </c>
      <c r="P23" t="s">
        <v>15</v>
      </c>
    </row>
    <row r="25" spans="1:17" ht="20.25" x14ac:dyDescent="0.3">
      <c r="C25" s="9" t="s">
        <v>40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2"/>
    </row>
    <row r="26" spans="1:17" x14ac:dyDescent="0.2">
      <c r="A26" s="3" t="s">
        <v>41</v>
      </c>
      <c r="C26">
        <v>1</v>
      </c>
      <c r="D26">
        <v>2</v>
      </c>
      <c r="E26">
        <v>1</v>
      </c>
      <c r="F26">
        <v>8</v>
      </c>
      <c r="G26">
        <v>5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</row>
    <row r="27" spans="1:17" x14ac:dyDescent="0.2">
      <c r="A27" s="3" t="s">
        <v>42</v>
      </c>
      <c r="C27">
        <f t="shared" ref="C27:P27" si="0">IF((MOD(B32,26)+C29)=C26,0,1)</f>
        <v>1</v>
      </c>
      <c r="D27">
        <f t="shared" si="0"/>
        <v>1</v>
      </c>
      <c r="E27">
        <f t="shared" si="0"/>
        <v>1</v>
      </c>
      <c r="F27">
        <f t="shared" si="0"/>
        <v>1</v>
      </c>
      <c r="G27">
        <f t="shared" si="0"/>
        <v>0</v>
      </c>
      <c r="H27">
        <f t="shared" si="0"/>
        <v>1</v>
      </c>
      <c r="I27">
        <f t="shared" si="0"/>
        <v>1</v>
      </c>
      <c r="J27">
        <f t="shared" si="0"/>
        <v>1</v>
      </c>
      <c r="K27">
        <f t="shared" si="0"/>
        <v>1</v>
      </c>
      <c r="L27">
        <f t="shared" si="0"/>
        <v>1</v>
      </c>
      <c r="M27">
        <f t="shared" si="0"/>
        <v>1</v>
      </c>
      <c r="N27">
        <f t="shared" si="0"/>
        <v>1</v>
      </c>
      <c r="O27">
        <f t="shared" si="0"/>
        <v>1</v>
      </c>
      <c r="P27">
        <f t="shared" si="0"/>
        <v>1</v>
      </c>
    </row>
    <row r="28" spans="1:17" x14ac:dyDescent="0.2">
      <c r="A28" s="3"/>
      <c r="C28">
        <v>1</v>
      </c>
      <c r="D28">
        <v>1</v>
      </c>
      <c r="E28">
        <v>1</v>
      </c>
      <c r="F28">
        <v>1</v>
      </c>
      <c r="G28">
        <v>26</v>
      </c>
      <c r="H28">
        <v>1</v>
      </c>
      <c r="I28">
        <v>1</v>
      </c>
      <c r="J28">
        <v>26</v>
      </c>
      <c r="K28">
        <v>26</v>
      </c>
      <c r="L28">
        <v>26</v>
      </c>
      <c r="M28">
        <v>1</v>
      </c>
      <c r="N28">
        <v>26</v>
      </c>
      <c r="O28">
        <v>26</v>
      </c>
      <c r="P28">
        <v>26</v>
      </c>
    </row>
    <row r="29" spans="1:17" x14ac:dyDescent="0.2">
      <c r="A29" s="3"/>
      <c r="C29">
        <v>14</v>
      </c>
      <c r="D29">
        <v>15</v>
      </c>
      <c r="E29">
        <v>12</v>
      </c>
      <c r="F29">
        <v>11</v>
      </c>
      <c r="G29">
        <v>-5</v>
      </c>
      <c r="H29">
        <v>14</v>
      </c>
      <c r="I29">
        <v>15</v>
      </c>
      <c r="J29">
        <v>-13</v>
      </c>
      <c r="K29">
        <v>-16</v>
      </c>
      <c r="L29">
        <v>-8</v>
      </c>
      <c r="M29">
        <v>15</v>
      </c>
      <c r="N29">
        <v>-8</v>
      </c>
      <c r="O29">
        <v>0</v>
      </c>
      <c r="P29">
        <v>-4</v>
      </c>
    </row>
    <row r="30" spans="1:17" x14ac:dyDescent="0.2">
      <c r="A30" s="3"/>
      <c r="C30">
        <v>12</v>
      </c>
      <c r="D30">
        <v>7</v>
      </c>
      <c r="E30">
        <v>1</v>
      </c>
      <c r="F30">
        <v>2</v>
      </c>
      <c r="G30">
        <v>4</v>
      </c>
      <c r="H30">
        <v>15</v>
      </c>
      <c r="I30">
        <v>11</v>
      </c>
      <c r="J30">
        <v>5</v>
      </c>
      <c r="K30">
        <v>3</v>
      </c>
      <c r="L30">
        <v>9</v>
      </c>
      <c r="M30">
        <v>2</v>
      </c>
      <c r="N30">
        <v>3</v>
      </c>
      <c r="O30">
        <v>3</v>
      </c>
      <c r="P30">
        <v>11</v>
      </c>
    </row>
    <row r="31" spans="1:17" x14ac:dyDescent="0.2">
      <c r="A31" s="3" t="s">
        <v>43</v>
      </c>
      <c r="C31">
        <f t="shared" ref="C31:P31" si="1">(25*C27)+1</f>
        <v>26</v>
      </c>
      <c r="D31">
        <f t="shared" si="1"/>
        <v>26</v>
      </c>
      <c r="E31">
        <f t="shared" si="1"/>
        <v>26</v>
      </c>
      <c r="F31">
        <f t="shared" si="1"/>
        <v>26</v>
      </c>
      <c r="G31">
        <f t="shared" si="1"/>
        <v>1</v>
      </c>
      <c r="H31">
        <f t="shared" si="1"/>
        <v>26</v>
      </c>
      <c r="I31">
        <f t="shared" si="1"/>
        <v>26</v>
      </c>
      <c r="J31">
        <f t="shared" si="1"/>
        <v>26</v>
      </c>
      <c r="K31">
        <f t="shared" si="1"/>
        <v>26</v>
      </c>
      <c r="L31">
        <f t="shared" si="1"/>
        <v>26</v>
      </c>
      <c r="M31">
        <f t="shared" si="1"/>
        <v>26</v>
      </c>
      <c r="N31">
        <f t="shared" si="1"/>
        <v>26</v>
      </c>
      <c r="O31">
        <f t="shared" si="1"/>
        <v>26</v>
      </c>
      <c r="P31">
        <f t="shared" si="1"/>
        <v>26</v>
      </c>
    </row>
    <row r="32" spans="1:17" x14ac:dyDescent="0.2">
      <c r="A32" s="3" t="s">
        <v>44</v>
      </c>
      <c r="B32">
        <v>0</v>
      </c>
      <c r="C32">
        <f t="shared" ref="C32:P32" si="2">INT(B32/C28)*C31+(C26+C30)*C27</f>
        <v>13</v>
      </c>
      <c r="D32">
        <f t="shared" si="2"/>
        <v>347</v>
      </c>
      <c r="E32">
        <f t="shared" si="2"/>
        <v>9024</v>
      </c>
      <c r="F32">
        <f t="shared" si="2"/>
        <v>234634</v>
      </c>
      <c r="G32">
        <f t="shared" si="2"/>
        <v>9024</v>
      </c>
      <c r="H32">
        <f t="shared" si="2"/>
        <v>234640</v>
      </c>
      <c r="I32">
        <f t="shared" si="2"/>
        <v>6100652</v>
      </c>
      <c r="J32">
        <f t="shared" si="2"/>
        <v>6100646</v>
      </c>
      <c r="K32">
        <f t="shared" si="2"/>
        <v>6100644</v>
      </c>
      <c r="L32">
        <f t="shared" si="2"/>
        <v>6100650</v>
      </c>
      <c r="M32">
        <f t="shared" si="2"/>
        <v>158616903</v>
      </c>
      <c r="N32">
        <f t="shared" si="2"/>
        <v>158616904</v>
      </c>
      <c r="O32">
        <f t="shared" si="2"/>
        <v>158616904</v>
      </c>
      <c r="P32">
        <f t="shared" si="2"/>
        <v>158616912</v>
      </c>
    </row>
    <row r="34" spans="1:16" x14ac:dyDescent="0.2">
      <c r="A34" t="s">
        <v>45</v>
      </c>
    </row>
    <row r="35" spans="1:16" x14ac:dyDescent="0.2">
      <c r="A35" t="s">
        <v>46</v>
      </c>
    </row>
    <row r="36" spans="1:16" x14ac:dyDescent="0.2">
      <c r="A36" t="s">
        <v>47</v>
      </c>
    </row>
    <row r="37" spans="1:16" x14ac:dyDescent="0.2">
      <c r="A37" t="s">
        <v>48</v>
      </c>
    </row>
    <row r="38" spans="1:16" x14ac:dyDescent="0.2">
      <c r="A38" t="s">
        <v>49</v>
      </c>
    </row>
    <row r="40" spans="1:16" x14ac:dyDescent="0.2">
      <c r="A40" t="s">
        <v>51</v>
      </c>
    </row>
    <row r="41" spans="1:16" x14ac:dyDescent="0.2">
      <c r="A41" t="s">
        <v>52</v>
      </c>
    </row>
    <row r="43" spans="1:16" x14ac:dyDescent="0.2">
      <c r="C43" s="12" t="s">
        <v>59</v>
      </c>
      <c r="D43" s="12" t="s">
        <v>58</v>
      </c>
      <c r="E43" s="12" t="s">
        <v>56</v>
      </c>
      <c r="F43" s="12" t="s">
        <v>53</v>
      </c>
      <c r="G43" s="12" t="s">
        <v>53</v>
      </c>
      <c r="H43" s="12" t="s">
        <v>55</v>
      </c>
      <c r="I43" s="12" t="s">
        <v>54</v>
      </c>
      <c r="J43" s="12" t="s">
        <v>54</v>
      </c>
      <c r="K43" s="12" t="s">
        <v>55</v>
      </c>
      <c r="L43" s="12" t="s">
        <v>56</v>
      </c>
      <c r="M43" s="12" t="s">
        <v>57</v>
      </c>
      <c r="N43" s="12" t="s">
        <v>57</v>
      </c>
      <c r="O43" s="12" t="s">
        <v>58</v>
      </c>
      <c r="P43" s="12" t="s">
        <v>59</v>
      </c>
    </row>
    <row r="44" spans="1:16" x14ac:dyDescent="0.2">
      <c r="A44" s="3" t="s">
        <v>41</v>
      </c>
      <c r="C44">
        <v>1</v>
      </c>
      <c r="D44">
        <v>2</v>
      </c>
      <c r="E44">
        <v>9</v>
      </c>
      <c r="F44">
        <v>9</v>
      </c>
      <c r="G44" s="1">
        <v>6</v>
      </c>
      <c r="H44">
        <v>9</v>
      </c>
      <c r="I44">
        <v>9</v>
      </c>
      <c r="J44" s="1">
        <v>7</v>
      </c>
      <c r="K44" s="1">
        <v>8</v>
      </c>
      <c r="L44" s="1">
        <v>2</v>
      </c>
      <c r="M44">
        <v>9</v>
      </c>
      <c r="N44" s="1">
        <v>3</v>
      </c>
      <c r="O44" s="1">
        <v>9</v>
      </c>
      <c r="P44" s="1">
        <v>9</v>
      </c>
    </row>
    <row r="45" spans="1:16" x14ac:dyDescent="0.2">
      <c r="A45" s="3" t="s">
        <v>42</v>
      </c>
      <c r="C45">
        <f t="shared" ref="C45" si="3">IF((MOD(B51,26)+C48)=C44,0,1)</f>
        <v>1</v>
      </c>
      <c r="D45">
        <f t="shared" ref="D45" si="4">IF((MOD(C51,26)+D48)=D44,0,1)</f>
        <v>1</v>
      </c>
      <c r="E45">
        <f t="shared" ref="E45" si="5">IF((MOD(D51,26)+E48)=E44,0,1)</f>
        <v>1</v>
      </c>
      <c r="F45">
        <f t="shared" ref="F45" si="6">IF((MOD(E51,26)+F48)=F44,0,1)</f>
        <v>1</v>
      </c>
      <c r="G45" s="1">
        <f t="shared" ref="G45" si="7">IF((MOD(F51,26)+G48)=G44,0,1)</f>
        <v>0</v>
      </c>
      <c r="H45">
        <f t="shared" ref="H45" si="8">IF((MOD(G51,26)+H48)=H44,0,1)</f>
        <v>1</v>
      </c>
      <c r="I45">
        <f t="shared" ref="I45" si="9">IF((MOD(H51,26)+I48)=I44,0,1)</f>
        <v>1</v>
      </c>
      <c r="J45" s="1">
        <f t="shared" ref="J45" si="10">IF((MOD(I51,26)+J48)=J44,0,1)</f>
        <v>0</v>
      </c>
      <c r="K45" s="1">
        <f t="shared" ref="K45" si="11">IF((MOD(J51,26)+K48)=K44,0,1)</f>
        <v>0</v>
      </c>
      <c r="L45" s="1">
        <f t="shared" ref="L45" si="12">IF((MOD(K51,26)+L48)=L44,0,1)</f>
        <v>0</v>
      </c>
      <c r="M45">
        <f t="shared" ref="M45" si="13">IF((MOD(L51,26)+M48)=M44,0,1)</f>
        <v>1</v>
      </c>
      <c r="N45" s="1">
        <f t="shared" ref="N45" si="14">IF((MOD(M51,26)+N48)=N44,0,1)</f>
        <v>0</v>
      </c>
      <c r="O45" s="1">
        <f t="shared" ref="O45" si="15">IF((MOD(N51,26)+O48)=O44,0,1)</f>
        <v>0</v>
      </c>
      <c r="P45" s="1">
        <f t="shared" ref="P45" si="16">IF((MOD(O51,26)+P48)=P44,0,1)</f>
        <v>0</v>
      </c>
    </row>
    <row r="46" spans="1:16" x14ac:dyDescent="0.2">
      <c r="A46" s="4" t="s">
        <v>50</v>
      </c>
      <c r="B46" s="5"/>
      <c r="C46" s="5">
        <f t="shared" ref="C46:P46" si="17">MOD(B51,26)+C48</f>
        <v>14</v>
      </c>
      <c r="D46" s="5">
        <f t="shared" si="17"/>
        <v>28</v>
      </c>
      <c r="E46" s="5">
        <f t="shared" si="17"/>
        <v>21</v>
      </c>
      <c r="F46" s="5">
        <f t="shared" si="17"/>
        <v>21</v>
      </c>
      <c r="G46" s="6">
        <f t="shared" si="17"/>
        <v>6</v>
      </c>
      <c r="H46" s="5">
        <f t="shared" si="17"/>
        <v>24</v>
      </c>
      <c r="I46" s="5">
        <f t="shared" si="17"/>
        <v>39</v>
      </c>
      <c r="J46" s="6">
        <f t="shared" si="17"/>
        <v>7</v>
      </c>
      <c r="K46" s="6">
        <f t="shared" si="17"/>
        <v>8</v>
      </c>
      <c r="L46" s="6">
        <f t="shared" si="17"/>
        <v>2</v>
      </c>
      <c r="M46" s="5">
        <f t="shared" si="17"/>
        <v>24</v>
      </c>
      <c r="N46" s="6">
        <f t="shared" si="17"/>
        <v>3</v>
      </c>
      <c r="O46" s="6">
        <f t="shared" si="17"/>
        <v>9</v>
      </c>
      <c r="P46" s="7">
        <f t="shared" si="17"/>
        <v>9</v>
      </c>
    </row>
    <row r="47" spans="1:16" x14ac:dyDescent="0.2">
      <c r="A47" s="3"/>
      <c r="C47">
        <v>1</v>
      </c>
      <c r="D47">
        <v>1</v>
      </c>
      <c r="E47">
        <v>1</v>
      </c>
      <c r="F47">
        <v>1</v>
      </c>
      <c r="G47" s="1">
        <v>26</v>
      </c>
      <c r="H47">
        <v>1</v>
      </c>
      <c r="I47">
        <v>1</v>
      </c>
      <c r="J47" s="1">
        <v>26</v>
      </c>
      <c r="K47" s="1">
        <v>26</v>
      </c>
      <c r="L47" s="1">
        <v>26</v>
      </c>
      <c r="M47">
        <v>1</v>
      </c>
      <c r="N47" s="1">
        <v>26</v>
      </c>
      <c r="O47" s="1">
        <v>26</v>
      </c>
      <c r="P47" s="1">
        <v>26</v>
      </c>
    </row>
    <row r="48" spans="1:16" x14ac:dyDescent="0.2">
      <c r="A48" s="3"/>
      <c r="C48">
        <v>14</v>
      </c>
      <c r="D48">
        <v>15</v>
      </c>
      <c r="E48">
        <v>12</v>
      </c>
      <c r="F48">
        <v>11</v>
      </c>
      <c r="G48" s="1">
        <v>-5</v>
      </c>
      <c r="H48">
        <v>14</v>
      </c>
      <c r="I48">
        <v>15</v>
      </c>
      <c r="J48" s="1">
        <v>-13</v>
      </c>
      <c r="K48" s="1">
        <v>-16</v>
      </c>
      <c r="L48" s="1">
        <v>-8</v>
      </c>
      <c r="M48">
        <v>15</v>
      </c>
      <c r="N48" s="1">
        <v>-8</v>
      </c>
      <c r="O48" s="1">
        <v>0</v>
      </c>
      <c r="P48" s="1">
        <v>-4</v>
      </c>
    </row>
    <row r="49" spans="1:16" x14ac:dyDescent="0.2">
      <c r="A49" s="3"/>
      <c r="C49">
        <v>12</v>
      </c>
      <c r="D49">
        <v>7</v>
      </c>
      <c r="E49">
        <v>1</v>
      </c>
      <c r="F49">
        <v>2</v>
      </c>
      <c r="G49" s="1">
        <v>4</v>
      </c>
      <c r="H49">
        <v>15</v>
      </c>
      <c r="I49">
        <v>11</v>
      </c>
      <c r="J49" s="1">
        <v>5</v>
      </c>
      <c r="K49" s="1">
        <v>3</v>
      </c>
      <c r="L49" s="1">
        <v>9</v>
      </c>
      <c r="M49">
        <v>2</v>
      </c>
      <c r="N49" s="1">
        <v>3</v>
      </c>
      <c r="O49" s="1">
        <v>3</v>
      </c>
      <c r="P49" s="1">
        <v>11</v>
      </c>
    </row>
    <row r="50" spans="1:16" x14ac:dyDescent="0.2">
      <c r="A50" s="3" t="s">
        <v>43</v>
      </c>
      <c r="C50">
        <f t="shared" ref="C50:P50" si="18">(25*C45)+1</f>
        <v>26</v>
      </c>
      <c r="D50">
        <f t="shared" si="18"/>
        <v>26</v>
      </c>
      <c r="E50">
        <f t="shared" si="18"/>
        <v>26</v>
      </c>
      <c r="F50">
        <f t="shared" si="18"/>
        <v>26</v>
      </c>
      <c r="G50" s="1">
        <f t="shared" si="18"/>
        <v>1</v>
      </c>
      <c r="H50">
        <f t="shared" si="18"/>
        <v>26</v>
      </c>
      <c r="I50">
        <f t="shared" si="18"/>
        <v>26</v>
      </c>
      <c r="J50" s="1">
        <f t="shared" si="18"/>
        <v>1</v>
      </c>
      <c r="K50" s="1">
        <f t="shared" si="18"/>
        <v>1</v>
      </c>
      <c r="L50" s="1">
        <f t="shared" si="18"/>
        <v>1</v>
      </c>
      <c r="M50">
        <f t="shared" si="18"/>
        <v>26</v>
      </c>
      <c r="N50" s="1">
        <f t="shared" si="18"/>
        <v>1</v>
      </c>
      <c r="O50" s="1">
        <f t="shared" si="18"/>
        <v>1</v>
      </c>
      <c r="P50" s="1">
        <f t="shared" si="18"/>
        <v>1</v>
      </c>
    </row>
    <row r="51" spans="1:16" x14ac:dyDescent="0.2">
      <c r="A51" s="3" t="s">
        <v>44</v>
      </c>
      <c r="B51">
        <v>0</v>
      </c>
      <c r="C51">
        <f t="shared" ref="C51" si="19">INT(B51/C47)*C50+(C44+C49)*C45</f>
        <v>13</v>
      </c>
      <c r="D51">
        <f t="shared" ref="D51" si="20">INT(C51/D47)*D50+(D44+D49)*D45</f>
        <v>347</v>
      </c>
      <c r="E51">
        <f t="shared" ref="E51" si="21">INT(D51/E47)*E50+(E44+E49)*E45</f>
        <v>9032</v>
      </c>
      <c r="F51">
        <f t="shared" ref="F51" si="22">INT(E51/F47)*F50+(F44+F49)*F45</f>
        <v>234843</v>
      </c>
      <c r="G51" s="1">
        <f t="shared" ref="G51" si="23">INT(F51/G47)*G50+(G44+G49)*G45</f>
        <v>9032</v>
      </c>
      <c r="H51">
        <f t="shared" ref="H51" si="24">INT(G51/H47)*H50+(H44+H49)*H45</f>
        <v>234856</v>
      </c>
      <c r="I51">
        <f t="shared" ref="I51" si="25">INT(H51/I47)*I50+(I44+I49)*I45</f>
        <v>6106276</v>
      </c>
      <c r="J51" s="1">
        <f t="shared" ref="J51" si="26">INT(I51/J47)*J50+(J44+J49)*J45</f>
        <v>234856</v>
      </c>
      <c r="K51" s="1">
        <f t="shared" ref="K51" si="27">INT(J51/K47)*K50+(K44+K49)*K45</f>
        <v>9032</v>
      </c>
      <c r="L51" s="1">
        <f t="shared" ref="L51" si="28">INT(K51/L47)*L50+(L44+L49)*L45</f>
        <v>347</v>
      </c>
      <c r="M51">
        <f t="shared" ref="M51" si="29">INT(L51/M47)*M50+(M44+M49)*M45</f>
        <v>9033</v>
      </c>
      <c r="N51" s="1">
        <f t="shared" ref="N51" si="30">INT(M51/N47)*N50+(N44+N49)*N45</f>
        <v>347</v>
      </c>
      <c r="O51" s="1">
        <f t="shared" ref="O51" si="31">INT(N51/O47)*O50+(O44+O49)*O45</f>
        <v>13</v>
      </c>
      <c r="P51" s="1">
        <f t="shared" ref="P51" si="32">INT(O51/P47)*P50+(P44+P49)*P45</f>
        <v>0</v>
      </c>
    </row>
    <row r="55" spans="1:16" x14ac:dyDescent="0.2">
      <c r="A55" t="s">
        <v>34</v>
      </c>
      <c r="C55">
        <v>1</v>
      </c>
      <c r="D55">
        <v>2</v>
      </c>
      <c r="E55">
        <v>9</v>
      </c>
      <c r="F55">
        <v>9</v>
      </c>
      <c r="G55">
        <v>6</v>
      </c>
      <c r="H55">
        <v>9</v>
      </c>
      <c r="I55">
        <v>9</v>
      </c>
      <c r="J55">
        <v>7</v>
      </c>
      <c r="K55">
        <v>8</v>
      </c>
      <c r="L55">
        <v>2</v>
      </c>
      <c r="M55">
        <v>9</v>
      </c>
      <c r="N55">
        <v>3</v>
      </c>
      <c r="O55">
        <v>9</v>
      </c>
      <c r="P55">
        <v>9</v>
      </c>
    </row>
    <row r="56" spans="1:16" x14ac:dyDescent="0.2">
      <c r="A56" t="s">
        <v>35</v>
      </c>
      <c r="C56">
        <v>1</v>
      </c>
      <c r="D56">
        <v>1</v>
      </c>
      <c r="E56">
        <v>8</v>
      </c>
      <c r="F56">
        <v>4</v>
      </c>
      <c r="G56">
        <v>1</v>
      </c>
      <c r="H56">
        <v>2</v>
      </c>
      <c r="I56">
        <v>3</v>
      </c>
      <c r="J56">
        <v>1</v>
      </c>
      <c r="K56">
        <v>1</v>
      </c>
      <c r="L56">
        <v>1</v>
      </c>
      <c r="M56">
        <v>7</v>
      </c>
      <c r="N56">
        <v>1</v>
      </c>
      <c r="O56">
        <v>8</v>
      </c>
      <c r="P56">
        <v>9</v>
      </c>
    </row>
    <row r="58" spans="1:16" x14ac:dyDescent="0.2">
      <c r="A58" s="3"/>
      <c r="C58" s="8">
        <v>1</v>
      </c>
      <c r="D58" s="8">
        <v>2</v>
      </c>
      <c r="E58" s="8">
        <v>3</v>
      </c>
      <c r="F58" s="8">
        <v>4</v>
      </c>
      <c r="G58" s="8">
        <v>5</v>
      </c>
      <c r="H58" s="8">
        <v>6</v>
      </c>
      <c r="I58" s="8">
        <v>7</v>
      </c>
      <c r="J58" s="8">
        <v>8</v>
      </c>
      <c r="K58" s="8">
        <v>9</v>
      </c>
      <c r="L58" s="8">
        <v>10</v>
      </c>
      <c r="M58" s="8">
        <v>11</v>
      </c>
      <c r="N58" s="8">
        <v>12</v>
      </c>
      <c r="O58" s="8">
        <v>13</v>
      </c>
      <c r="P58" s="8">
        <v>14</v>
      </c>
    </row>
    <row r="59" spans="1:16" x14ac:dyDescent="0.2">
      <c r="A59" s="3"/>
    </row>
    <row r="60" spans="1:16" x14ac:dyDescent="0.2">
      <c r="A60" s="3"/>
    </row>
    <row r="61" spans="1:16" x14ac:dyDescent="0.2">
      <c r="A61" s="3" t="s">
        <v>60</v>
      </c>
    </row>
    <row r="62" spans="1:16" x14ac:dyDescent="0.2">
      <c r="A62" s="3"/>
    </row>
    <row r="63" spans="1:16" x14ac:dyDescent="0.2">
      <c r="A63" s="3"/>
    </row>
    <row r="64" spans="1:16" x14ac:dyDescent="0.2">
      <c r="A64" s="3"/>
    </row>
  </sheetData>
  <mergeCells count="5">
    <mergeCell ref="C1:P1"/>
    <mergeCell ref="C4:P4"/>
    <mergeCell ref="C12:P12"/>
    <mergeCell ref="C18:P18"/>
    <mergeCell ref="C25:P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Wichman</dc:creator>
  <cp:lastModifiedBy>Hans Wichman</cp:lastModifiedBy>
  <dcterms:created xsi:type="dcterms:W3CDTF">2025-12-24T13:08:16Z</dcterms:created>
  <dcterms:modified xsi:type="dcterms:W3CDTF">2025-12-25T21:17:38Z</dcterms:modified>
</cp:coreProperties>
</file>